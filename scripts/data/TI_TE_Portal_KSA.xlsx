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VarnyNielsen\Desktop\"/>
    </mc:Choice>
  </mc:AlternateContent>
  <xr:revisionPtr revIDLastSave="0" documentId="8_{A1206490-18C1-4A26-9131-EDCD1518E550}" xr6:coauthVersionLast="47" xr6:coauthVersionMax="47" xr10:uidLastSave="{00000000-0000-0000-0000-000000000000}"/>
  <bookViews>
    <workbookView xWindow="28680" yWindow="-120" windowWidth="29040" windowHeight="15840" activeTab="1" xr2:uid="{C667FC59-5E10-41D4-940A-A1C6BB4F1A45}"/>
  </bookViews>
  <sheets>
    <sheet name="TI_TE portal" sheetId="1" r:id="rId1"/>
    <sheet name="KSA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49" i="2" l="1"/>
  <c r="M49" i="2"/>
  <c r="Q48" i="2"/>
  <c r="M48" i="2"/>
  <c r="Q47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1" i="2"/>
  <c r="Q29" i="2"/>
  <c r="M29" i="2"/>
  <c r="Q28" i="2"/>
  <c r="M28" i="2"/>
  <c r="M27" i="2"/>
  <c r="P26" i="2"/>
  <c r="M26" i="2"/>
  <c r="Q25" i="2"/>
  <c r="P25" i="2"/>
  <c r="M25" i="2"/>
  <c r="P24" i="2"/>
  <c r="Q24" i="2" s="1"/>
  <c r="M24" i="2"/>
  <c r="P23" i="2"/>
  <c r="M23" i="2"/>
  <c r="P22" i="2"/>
  <c r="M22" i="2"/>
  <c r="M21" i="2"/>
  <c r="P20" i="2"/>
  <c r="M20" i="2"/>
  <c r="M19" i="2"/>
  <c r="P18" i="2"/>
  <c r="M18" i="2"/>
  <c r="P17" i="2"/>
  <c r="Q17" i="2" s="1"/>
  <c r="M17" i="2"/>
  <c r="Q16" i="2"/>
  <c r="P16" i="2"/>
  <c r="P15" i="2"/>
  <c r="Q15" i="2" s="1"/>
  <c r="M15" i="2"/>
  <c r="P14" i="2"/>
  <c r="Q14" i="2" s="1"/>
  <c r="M14" i="2"/>
  <c r="P13" i="2"/>
  <c r="Q13" i="2" s="1"/>
  <c r="M13" i="2"/>
  <c r="Q12" i="2"/>
  <c r="P12" i="2"/>
  <c r="M12" i="2"/>
  <c r="P11" i="2"/>
  <c r="Q11" i="2" s="1"/>
  <c r="M11" i="2"/>
  <c r="P10" i="2"/>
  <c r="Q10" i="2" s="1"/>
  <c r="M10" i="2"/>
  <c r="Q9" i="2"/>
  <c r="M9" i="2"/>
  <c r="Q8" i="2"/>
  <c r="M8" i="2"/>
  <c r="M7" i="2"/>
  <c r="M6" i="2"/>
  <c r="M5" i="2"/>
  <c r="P4" i="2"/>
  <c r="M4" i="2"/>
  <c r="F4" i="2"/>
  <c r="M3" i="2"/>
</calcChain>
</file>

<file path=xl/sharedStrings.xml><?xml version="1.0" encoding="utf-8"?>
<sst xmlns="http://schemas.openxmlformats.org/spreadsheetml/2006/main" count="410" uniqueCount="153">
  <si>
    <r>
      <t xml:space="preserve">Control of </t>
    </r>
    <r>
      <rPr>
        <b/>
        <sz val="11"/>
        <color theme="1"/>
        <rFont val="Aptos Narrow"/>
        <family val="2"/>
        <scheme val="minor"/>
      </rPr>
      <t>duty/tax exposure</t>
    </r>
  </si>
  <si>
    <r>
      <t xml:space="preserve">Prevention of </t>
    </r>
    <r>
      <rPr>
        <b/>
        <sz val="11"/>
        <color theme="1"/>
        <rFont val="Aptos Narrow"/>
        <family val="2"/>
        <scheme val="minor"/>
      </rPr>
      <t>penalties due to missed re-export deadlines</t>
    </r>
  </si>
  <si>
    <t>Audit-ready documentation (customs, finance, legal)</t>
  </si>
  <si>
    <t>Temporary Import/Export Control Portal</t>
  </si>
  <si>
    <t>Requirements:</t>
  </si>
  <si>
    <t>Full visibility of all temporary movements</t>
  </si>
  <si>
    <r>
      <t xml:space="preserve">Automated tracking/notification of </t>
    </r>
    <r>
      <rPr>
        <b/>
        <sz val="11"/>
        <color theme="1"/>
        <rFont val="Aptos Narrow"/>
        <family val="2"/>
        <scheme val="minor"/>
      </rPr>
      <t>extensions, closures, and compliance status</t>
    </r>
  </si>
  <si>
    <t xml:space="preserve">Temporary Import   / Export record </t>
  </si>
  <si>
    <t>No.</t>
  </si>
  <si>
    <t xml:space="preserve">segment </t>
  </si>
  <si>
    <t>From</t>
  </si>
  <si>
    <t>To</t>
  </si>
  <si>
    <t xml:space="preserve">Invoice number </t>
  </si>
  <si>
    <t>Invoice value 2</t>
  </si>
  <si>
    <t xml:space="preserve">Bayan number </t>
  </si>
  <si>
    <t>Description</t>
  </si>
  <si>
    <t>MOT</t>
  </si>
  <si>
    <t>AWB</t>
  </si>
  <si>
    <t xml:space="preserve">Import   date </t>
  </si>
  <si>
    <t xml:space="preserve">Deposit value </t>
  </si>
  <si>
    <t>deposti in USD</t>
  </si>
  <si>
    <t xml:space="preserve">PO </t>
  </si>
  <si>
    <t>Movement type</t>
  </si>
  <si>
    <t>expiry date</t>
  </si>
  <si>
    <t xml:space="preserve">Extended date </t>
  </si>
  <si>
    <t xml:space="preserve">Comments </t>
  </si>
  <si>
    <t>statis</t>
  </si>
  <si>
    <t>Coiled Tubing</t>
  </si>
  <si>
    <t xml:space="preserve">India </t>
  </si>
  <si>
    <t>KSA</t>
  </si>
  <si>
    <t>NPS-CT-71-23-24</t>
  </si>
  <si>
    <t>Refundable Deposit for CT Units from India tosaudi</t>
  </si>
  <si>
    <t>Sea</t>
  </si>
  <si>
    <t xml:space="preserve">KCPMUNDMM2306051 </t>
  </si>
  <si>
    <t xml:space="preserve">Import  </t>
  </si>
  <si>
    <t xml:space="preserve">Qatar </t>
  </si>
  <si>
    <t xml:space="preserve">1- CI-010/23
2-CI-013/23
3-CI-008/23 
4-CI-012/23
5-CI-016/23
6-CI-014/23
7-CI-015/23
</t>
  </si>
  <si>
    <r>
      <rPr>
        <sz val="11"/>
        <color rgb="FF92D050"/>
        <rFont val="Aptos Narrow"/>
        <family val="2"/>
        <scheme val="minor"/>
      </rPr>
      <t>7211</t>
    </r>
    <r>
      <rPr>
        <sz val="11"/>
        <color theme="1"/>
        <rFont val="Aptos Narrow"/>
        <family val="2"/>
        <scheme val="minor"/>
      </rPr>
      <t xml:space="preserve">-4246.12
</t>
    </r>
    <r>
      <rPr>
        <sz val="11"/>
        <color rgb="FF92D050"/>
        <rFont val="Aptos Narrow"/>
        <family val="2"/>
        <scheme val="minor"/>
      </rPr>
      <t>7213</t>
    </r>
    <r>
      <rPr>
        <sz val="11"/>
        <color theme="1"/>
        <rFont val="Aptos Narrow"/>
        <family val="2"/>
        <scheme val="minor"/>
      </rPr>
      <t xml:space="preserve">-5,258.44
</t>
    </r>
    <r>
      <rPr>
        <sz val="11"/>
        <color rgb="FFFF0000"/>
        <rFont val="Aptos Narrow"/>
        <family val="2"/>
        <scheme val="minor"/>
      </rPr>
      <t>7216</t>
    </r>
    <r>
      <rPr>
        <sz val="11"/>
        <color theme="1"/>
        <rFont val="Aptos Narrow"/>
        <family val="2"/>
        <scheme val="minor"/>
      </rPr>
      <t xml:space="preserve">-3,750 
</t>
    </r>
    <r>
      <rPr>
        <sz val="11"/>
        <color rgb="FF92D050"/>
        <rFont val="Aptos Narrow"/>
        <family val="2"/>
        <scheme val="minor"/>
      </rPr>
      <t>7210</t>
    </r>
    <r>
      <rPr>
        <sz val="11"/>
        <color theme="1"/>
        <rFont val="Aptos Narrow"/>
        <family val="2"/>
        <scheme val="minor"/>
      </rPr>
      <t xml:space="preserve">-4,246.12
</t>
    </r>
    <r>
      <rPr>
        <sz val="11"/>
        <color rgb="FF92D050"/>
        <rFont val="Aptos Narrow"/>
        <family val="2"/>
        <scheme val="minor"/>
      </rPr>
      <t>7212</t>
    </r>
    <r>
      <rPr>
        <sz val="11"/>
        <color theme="1"/>
        <rFont val="Aptos Narrow"/>
        <family val="2"/>
        <scheme val="minor"/>
      </rPr>
      <t xml:space="preserve">-3,004.87
</t>
    </r>
    <r>
      <rPr>
        <sz val="11"/>
        <color rgb="FFFF0000"/>
        <rFont val="Aptos Narrow"/>
        <family val="2"/>
        <scheme val="minor"/>
      </rPr>
      <t>7214-</t>
    </r>
    <r>
      <rPr>
        <sz val="11"/>
        <rFont val="Aptos Narrow"/>
        <family val="2"/>
        <scheme val="minor"/>
      </rPr>
      <t>172,208.03</t>
    </r>
    <r>
      <rPr>
        <sz val="11"/>
        <color rgb="FFFF0000"/>
        <rFont val="Aptos Narrow"/>
        <family val="2"/>
        <scheme val="minor"/>
      </rPr>
      <t xml:space="preserve">
7215</t>
    </r>
    <r>
      <rPr>
        <sz val="11"/>
        <color theme="1"/>
        <rFont val="Aptos Narrow"/>
        <family val="2"/>
        <scheme val="minor"/>
      </rPr>
      <t>-31,432.5</t>
    </r>
  </si>
  <si>
    <t>Refundable Deposit for CT Package from Qatar to SA</t>
  </si>
  <si>
    <t>Lnad</t>
  </si>
  <si>
    <t>DXBN082300568</t>
  </si>
  <si>
    <t xml:space="preserve">Closed </t>
  </si>
  <si>
    <t>Qatar</t>
  </si>
  <si>
    <t>CI-013/23</t>
  </si>
  <si>
    <t>Tepm,Cust. Deposit- CT Pack.Qatar-PO # 5190016636</t>
  </si>
  <si>
    <t>Land</t>
  </si>
  <si>
    <t>Import</t>
  </si>
  <si>
    <t>CI-009/23</t>
  </si>
  <si>
    <t>Tepm,Cust. Deposit- CT Pack.Qatar-PO # 5190016637</t>
  </si>
  <si>
    <t>CI-010/23</t>
  </si>
  <si>
    <t>Tepm,Cust. Deposit- CT Pack.Qatar-PO # 5190016638</t>
  </si>
  <si>
    <t xml:space="preserve">Algeria </t>
  </si>
  <si>
    <t>2023-1</t>
  </si>
  <si>
    <t>Tepm,Cust. Deposit-.GDI -Algeria PO # 5190016765</t>
  </si>
  <si>
    <t>Air</t>
  </si>
  <si>
    <t>157-87826093</t>
  </si>
  <si>
    <t>WL</t>
  </si>
  <si>
    <t>USA</t>
  </si>
  <si>
    <t>GES05202024</t>
  </si>
  <si>
    <t xml:space="preserve"> Kenjer Price Lists - Free Trail Runs </t>
  </si>
  <si>
    <t>157-35902171</t>
  </si>
  <si>
    <t>UAE</t>
  </si>
  <si>
    <t>SPM0003144</t>
  </si>
  <si>
    <t xml:space="preserve">SPM0003144 </t>
  </si>
  <si>
    <t xml:space="preserve">JBCJBL20240117 </t>
  </si>
  <si>
    <t xml:space="preserve">SPM0003146 </t>
  </si>
  <si>
    <t>SPM0003348</t>
  </si>
  <si>
    <t xml:space="preserve">JBCJBL20240123 </t>
  </si>
  <si>
    <t>SPM0003346</t>
  </si>
  <si>
    <t>CIPL-OGNESR-2405-006</t>
  </si>
  <si>
    <t>CIPL-OGNESR-2405-006 - Quintoplex pump</t>
  </si>
  <si>
    <t>Vaporizer for KSA</t>
  </si>
  <si>
    <t xml:space="preserve">Drilling </t>
  </si>
  <si>
    <t>Oman</t>
  </si>
  <si>
    <t xml:space="preserve">RoyaStream FT in Oman 
TKT-0001100171 </t>
  </si>
  <si>
    <t>N/A</t>
  </si>
  <si>
    <t xml:space="preserve">Export </t>
  </si>
  <si>
    <t>No deposit for this shipment only goverment export fees 170 SAR</t>
  </si>
  <si>
    <t xml:space="preserve">Motors </t>
  </si>
  <si>
    <t xml:space="preserve">Final time </t>
  </si>
  <si>
    <t>GW20240820-01</t>
  </si>
  <si>
    <t xml:space="preserve"> Deformation and Eccentricity Tool</t>
  </si>
  <si>
    <t>176-00098501</t>
  </si>
  <si>
    <t>CIPL-NESR-2501-032</t>
  </si>
  <si>
    <t>pump</t>
  </si>
  <si>
    <t>AEPFL032880</t>
  </si>
  <si>
    <t>Frac</t>
  </si>
  <si>
    <t>Algeria</t>
  </si>
  <si>
    <t>frac pump</t>
  </si>
  <si>
    <t>blender</t>
  </si>
  <si>
    <t>sand king</t>
  </si>
  <si>
    <t xml:space="preserve">sand king </t>
  </si>
  <si>
    <t>HP/LP</t>
  </si>
  <si>
    <t>GW20250210-03</t>
  </si>
  <si>
    <t>MFC40J-B - 40 aRM mULTIFINGER cALIPER</t>
  </si>
  <si>
    <t>176-09062384</t>
  </si>
  <si>
    <t>GW20250429-02A</t>
  </si>
  <si>
    <t>TTCE TOOLS</t>
  </si>
  <si>
    <t>UK</t>
  </si>
  <si>
    <t>NESR-3492-WL-CH-2025</t>
  </si>
  <si>
    <t>MULTIFINGER IMAGING TOOL</t>
  </si>
  <si>
    <t>176-08621992</t>
  </si>
  <si>
    <t>NESR-3588-WL-CH-2025</t>
  </si>
  <si>
    <t xml:space="preserve">Multifinger Caliper </t>
  </si>
  <si>
    <t>32925-DXB</t>
  </si>
  <si>
    <t>SLK</t>
  </si>
  <si>
    <t>OMAN</t>
  </si>
  <si>
    <t>NESR-3539-SLIKLINE-2025  </t>
  </si>
  <si>
    <t>SLK UNIT 59</t>
  </si>
  <si>
    <t xml:space="preserve">returned and closed </t>
  </si>
  <si>
    <t>NESR-3540-SLIKLINE-2025</t>
  </si>
  <si>
    <t>SLK UNIT 60</t>
  </si>
  <si>
    <t>NESR-3541-SLIKLINE-2025 </t>
  </si>
  <si>
    <t>SLK UNIT 64</t>
  </si>
  <si>
    <t>returend</t>
  </si>
  <si>
    <t>GW20250730-01</t>
  </si>
  <si>
    <t>EPE43D-B Enhanced Pipe Detection Tool</t>
  </si>
  <si>
    <t>40584 AJM</t>
  </si>
  <si>
    <t>China</t>
  </si>
  <si>
    <t>NESR-3607-WL-CH-2025</t>
  </si>
  <si>
    <t>Pressure Temperature PTC43J-A</t>
  </si>
  <si>
    <t>176-81691433</t>
  </si>
  <si>
    <t>PTS098-A</t>
  </si>
  <si>
    <t>PTS098</t>
  </si>
  <si>
    <t>235-83999510</t>
  </si>
  <si>
    <t>PTS099-A</t>
  </si>
  <si>
    <t>235-83981553</t>
  </si>
  <si>
    <t>PTS104</t>
  </si>
  <si>
    <t>235-84800306</t>
  </si>
  <si>
    <t>PTS109</t>
  </si>
  <si>
    <t>235-86533720</t>
  </si>
  <si>
    <t>PTS111</t>
  </si>
  <si>
    <t>235-86530695</t>
  </si>
  <si>
    <t>PTS115</t>
  </si>
  <si>
    <t>020-00811064</t>
  </si>
  <si>
    <t>PTS116</t>
  </si>
  <si>
    <t>020-38859796</t>
  </si>
  <si>
    <t xml:space="preserve">MPD </t>
  </si>
  <si>
    <t>DO05212025</t>
  </si>
  <si>
    <t>176-06543574</t>
  </si>
  <si>
    <t xml:space="preserve">DH02132025
</t>
  </si>
  <si>
    <t>YN029HODA031</t>
  </si>
  <si>
    <t xml:space="preserve"> CI-25-219</t>
  </si>
  <si>
    <t>PTS118</t>
  </si>
  <si>
    <t>235-87088330</t>
  </si>
  <si>
    <t>TRS</t>
  </si>
  <si>
    <t>5190019766 rental OGI-ENQ-4234</t>
  </si>
  <si>
    <t>TRS rental</t>
  </si>
  <si>
    <t>ESG</t>
  </si>
  <si>
    <t xml:space="preserve">Go 2 lthuim </t>
  </si>
  <si>
    <t xml:space="preserve">ESG rental </t>
  </si>
  <si>
    <t>CAN0911729</t>
  </si>
  <si>
    <t>Crwon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</si>
</sst>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8" formatCode="[$-409]d\-mmm\-yy;@"/>
    <numFmt numFmtId="169" formatCode="_([$SAR]\ * #,##0.00_);_([$SAR]\ * \(#,##0.00\);_([$SAR]\ * &quot;-&quot;??_);_(@_)"/>
    <numFmt numFmtId="170" formatCode="_([$$-409]* #,##0.00_);_([$$-409]* \(#,##0.00\);_([$$-409]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006100"/>
      <name val="Aptos Narrow"/>
      <family val="2"/>
      <scheme val="minor"/>
    </font>
    <font>
      <b/>
      <sz val="10"/>
      <color rgb="FF000000"/>
      <name val="Arial Narrow"/>
      <family val="2"/>
    </font>
    <font>
      <sz val="11"/>
      <color rgb="FF92D05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42424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75">
    <xf numFmtId="0" fontId="0" fillId="0" borderId="0" xfId="0"/>
    <xf numFmtId="0" fontId="4" fillId="0" borderId="0" xfId="0" applyFont="1"/>
    <xf numFmtId="0" fontId="0" fillId="0" borderId="0" xfId="0" applyAlignment="1">
      <alignment horizontal="left" vertical="center" indent="1"/>
    </xf>
    <xf numFmtId="0" fontId="5" fillId="2" borderId="1" xfId="2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4" fontId="0" fillId="0" borderId="5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169" fontId="6" fillId="3" borderId="0" xfId="1" applyNumberFormat="1" applyFont="1" applyFill="1" applyBorder="1" applyAlignment="1">
      <alignment vertical="center" wrapText="1" readingOrder="1"/>
    </xf>
    <xf numFmtId="44" fontId="6" fillId="3" borderId="0" xfId="1" applyFont="1" applyFill="1" applyBorder="1" applyAlignment="1">
      <alignment vertical="center" wrapText="1" readingOrder="1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44" fontId="0" fillId="4" borderId="5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68" fontId="0" fillId="4" borderId="6" xfId="0" applyNumberFormat="1" applyFill="1" applyBorder="1" applyAlignment="1">
      <alignment horizontal="center" vertical="center"/>
    </xf>
    <xf numFmtId="169" fontId="0" fillId="4" borderId="1" xfId="1" applyNumberFormat="1" applyFont="1" applyFill="1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168" fontId="0" fillId="4" borderId="1" xfId="0" applyNumberFormat="1" applyFill="1" applyBorder="1" applyAlignment="1">
      <alignment horizontal="center" vertical="center"/>
    </xf>
    <xf numFmtId="15" fontId="0" fillId="4" borderId="6" xfId="0" applyNumberFormat="1" applyFill="1" applyBorder="1" applyAlignment="1">
      <alignment horizontal="center" vertical="center"/>
    </xf>
    <xf numFmtId="169" fontId="0" fillId="0" borderId="1" xfId="1" applyNumberFormat="1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168" fontId="3" fillId="0" borderId="6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0" fontId="10" fillId="0" borderId="1" xfId="3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44" fontId="0" fillId="0" borderId="7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9" fontId="0" fillId="0" borderId="8" xfId="1" applyNumberFormat="1" applyFont="1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6" fontId="0" fillId="0" borderId="7" xfId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/>
    <xf numFmtId="44" fontId="3" fillId="0" borderId="7" xfId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1" fillId="0" borderId="0" xfId="0" applyFont="1"/>
    <xf numFmtId="168" fontId="3" fillId="0" borderId="8" xfId="0" applyNumberFormat="1" applyFont="1" applyBorder="1" applyAlignment="1">
      <alignment horizontal="center" vertical="center"/>
    </xf>
    <xf numFmtId="169" fontId="3" fillId="0" borderId="1" xfId="1" applyNumberFormat="1" applyFont="1" applyBorder="1" applyAlignment="1">
      <alignment horizontal="center" vertical="center"/>
    </xf>
    <xf numFmtId="170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9" fontId="3" fillId="0" borderId="8" xfId="1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168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69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44" fontId="4" fillId="4" borderId="7" xfId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4" fontId="4" fillId="4" borderId="8" xfId="0" applyNumberFormat="1" applyFont="1" applyFill="1" applyBorder="1" applyAlignment="1">
      <alignment horizontal="center" vertical="center"/>
    </xf>
    <xf numFmtId="14" fontId="4" fillId="4" borderId="8" xfId="0" applyNumberFormat="1" applyFont="1" applyFill="1" applyBorder="1" applyAlignment="1">
      <alignment horizontal="center" vertical="center"/>
    </xf>
    <xf numFmtId="169" fontId="4" fillId="4" borderId="8" xfId="1" applyNumberFormat="1" applyFont="1" applyFill="1" applyBorder="1" applyAlignment="1">
      <alignment horizontal="center" vertical="center"/>
    </xf>
    <xf numFmtId="169" fontId="4" fillId="4" borderId="8" xfId="0" applyNumberFormat="1" applyFont="1" applyFill="1" applyBorder="1" applyAlignment="1">
      <alignment horizontal="center" vertical="center"/>
    </xf>
  </cellXfs>
  <cellStyles count="4">
    <cellStyle name="Currency" xfId="1" builtinId="4"/>
    <cellStyle name="Good" xfId="2" builtinId="26"/>
    <cellStyle name="Hyperlink" xfId="3" builtinId="8"/>
    <cellStyle name="Normal" xfId="0" builtinId="0"/>
  </cellStyles>
  <dxfs count="24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_([$SAR]\ * #,##0.00_);_([$SAR]\ * \(#,##0.00\);_([$SAR]\ 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_([$SAR]\ * #,##0.00_);_([$SAR]\ * \(#,##0.00\);_([$SAR]\ 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210D72-B60E-486A-8F7D-754F311BDF9E}" name="Table13" displayName="Table13" ref="A2:S49" totalsRowShown="0" headerRowDxfId="23" dataDxfId="22" headerRowBorderDxfId="20" tableBorderDxfId="21" totalsRowBorderDxfId="19">
  <autoFilter ref="A2:S49" xr:uid="{64681142-C352-48CE-91AC-C12FA2D3E19C}"/>
  <tableColumns count="19">
    <tableColumn id="1" xr3:uid="{2D4FD8AE-D060-4CB9-BD3E-C11F83438D44}" name="No." dataDxfId="18"/>
    <tableColumn id="10" xr3:uid="{9F8BDD07-6C04-4853-B768-7C43993D38DA}" name="segment " dataDxfId="17"/>
    <tableColumn id="12" xr3:uid="{4A32346F-689B-4149-A884-BD19CB61D622}" name="From" dataDxfId="16"/>
    <tableColumn id="14" xr3:uid="{CF70732A-AAD4-47EA-A8AA-2B3DEEC8FEB0}" name="To" dataDxfId="15"/>
    <tableColumn id="15" xr3:uid="{AD8F912F-C8EB-49DC-9FCF-0300F6E697D8}" name="Invoice number " dataDxfId="14"/>
    <tableColumn id="16" xr3:uid="{FD1B2F30-2F8C-4F91-B3D7-5B7DF141940E}" name="Invoice value 2" dataDxfId="13"/>
    <tableColumn id="2" xr3:uid="{B66B30CA-4350-40DC-9187-EB71C8F73113}" name="Bayan number " dataDxfId="12"/>
    <tableColumn id="9" xr3:uid="{6CAC5946-4882-4A5E-94A8-AB0ADCEC7592}" name="Description" dataDxfId="11"/>
    <tableColumn id="17" xr3:uid="{99965D78-F143-4211-A767-4D9883D2F818}" name="MOT" dataDxfId="10"/>
    <tableColumn id="18" xr3:uid="{813C7E94-49F6-4B47-B499-4D270BA546EA}" name="AWB" dataDxfId="9"/>
    <tableColumn id="3" xr3:uid="{8CA8B099-3273-4407-88B2-53E27AE979B9}" name="Import   date " dataDxfId="8"/>
    <tableColumn id="4" xr3:uid="{03A9CF39-509F-4257-92C6-FE17C0182AAB}" name="Deposit value " dataDxfId="7" dataCellStyle="Currency"/>
    <tableColumn id="13" xr3:uid="{39A2AEC4-3ED6-4262-9E5E-AB22D526036E}" name="deposti in USD" dataDxfId="6">
      <calculatedColumnFormula>Table13[[#This Row],[Deposit value ]]/3.75</calculatedColumnFormula>
    </tableColumn>
    <tableColumn id="5" xr3:uid="{1E9DF997-AA17-4DA9-A0B6-97DFC3B3A1C6}" name="PO " dataDxfId="5"/>
    <tableColumn id="11" xr3:uid="{08425836-06DE-4477-A1D4-A9C5FF0B346D}" name="Movement type" dataDxfId="4"/>
    <tableColumn id="6" xr3:uid="{4DA8230E-81D4-409F-91A5-048349731635}" name="expiry date" dataDxfId="3"/>
    <tableColumn id="8" xr3:uid="{87E3B8DB-A377-411C-9E71-101769D4D70C}" name="Extended date " dataDxfId="2"/>
    <tableColumn id="7" xr3:uid="{F98088D7-5C65-4547-8FAB-BCC11E03CBE0}" name="Comments " dataDxfId="1"/>
    <tableColumn id="19" xr3:uid="{CCC13C15-C3B1-4BDE-946C-FA5BB621BF8E}" name="stati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8E04-E878-4299-A366-2E90EAD19032}">
  <dimension ref="B2:B10"/>
  <sheetViews>
    <sheetView workbookViewId="0">
      <selection activeCell="H15" sqref="H15"/>
    </sheetView>
  </sheetViews>
  <sheetFormatPr defaultRowHeight="15" x14ac:dyDescent="0.25"/>
  <sheetData>
    <row r="2" spans="2:2" x14ac:dyDescent="0.25">
      <c r="B2" s="1" t="s">
        <v>3</v>
      </c>
    </row>
    <row r="3" spans="2:2" x14ac:dyDescent="0.25">
      <c r="B3" s="1"/>
    </row>
    <row r="4" spans="2:2" x14ac:dyDescent="0.25">
      <c r="B4" t="s">
        <v>4</v>
      </c>
    </row>
    <row r="6" spans="2:2" x14ac:dyDescent="0.25">
      <c r="B6" s="2" t="s">
        <v>5</v>
      </c>
    </row>
    <row r="7" spans="2:2" x14ac:dyDescent="0.25">
      <c r="B7" s="2" t="s">
        <v>0</v>
      </c>
    </row>
    <row r="8" spans="2:2" x14ac:dyDescent="0.25">
      <c r="B8" s="2" t="s">
        <v>1</v>
      </c>
    </row>
    <row r="9" spans="2:2" x14ac:dyDescent="0.25">
      <c r="B9" s="2" t="s">
        <v>6</v>
      </c>
    </row>
    <row r="10" spans="2:2" x14ac:dyDescent="0.25">
      <c r="B10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6396-76A3-4FF3-809A-31FF5183F8C9}">
  <dimension ref="A1:S49"/>
  <sheetViews>
    <sheetView tabSelected="1" zoomScale="70" zoomScaleNormal="70" workbookViewId="0">
      <selection activeCell="E16" sqref="E16"/>
    </sheetView>
  </sheetViews>
  <sheetFormatPr defaultRowHeight="15" x14ac:dyDescent="0.25"/>
  <cols>
    <col min="1" max="1" width="6.28515625" customWidth="1"/>
    <col min="2" max="2" width="20.42578125" bestFit="1" customWidth="1"/>
    <col min="3" max="4" width="20.42578125" customWidth="1"/>
    <col min="5" max="5" width="30" bestFit="1" customWidth="1"/>
    <col min="6" max="6" width="20.42578125" customWidth="1"/>
    <col min="7" max="7" width="35" bestFit="1" customWidth="1"/>
    <col min="8" max="8" width="59.42578125" customWidth="1"/>
    <col min="9" max="9" width="13.42578125" bestFit="1" customWidth="1"/>
    <col min="10" max="10" width="24" bestFit="1" customWidth="1"/>
    <col min="11" max="11" width="19.140625" customWidth="1"/>
    <col min="12" max="12" width="24.42578125" bestFit="1" customWidth="1"/>
    <col min="13" max="13" width="25.42578125" bestFit="1" customWidth="1"/>
    <col min="14" max="14" width="14.7109375" bestFit="1" customWidth="1"/>
    <col min="15" max="15" width="19.7109375" bestFit="1" customWidth="1"/>
    <col min="16" max="16" width="23.28515625" customWidth="1"/>
    <col min="17" max="17" width="25.140625" customWidth="1"/>
    <col min="18" max="18" width="20.42578125" bestFit="1" customWidth="1"/>
    <col min="23" max="23" width="13.5703125" bestFit="1" customWidth="1"/>
  </cols>
  <sheetData>
    <row r="1" spans="1:19" ht="57.75" customHeight="1" x14ac:dyDescent="0.25">
      <c r="A1" s="3" t="s">
        <v>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9" ht="30" customHeigh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6" t="s">
        <v>24</v>
      </c>
      <c r="R2" s="6" t="s">
        <v>25</v>
      </c>
      <c r="S2" s="5" t="s">
        <v>26</v>
      </c>
    </row>
    <row r="3" spans="1:19" x14ac:dyDescent="0.25">
      <c r="A3" s="7">
        <v>1</v>
      </c>
      <c r="B3" s="7" t="s">
        <v>27</v>
      </c>
      <c r="C3" s="7" t="s">
        <v>28</v>
      </c>
      <c r="D3" s="7" t="s">
        <v>29</v>
      </c>
      <c r="E3" s="7" t="s">
        <v>30</v>
      </c>
      <c r="F3" s="8">
        <v>667274.34</v>
      </c>
      <c r="G3" s="9">
        <v>135339</v>
      </c>
      <c r="H3" s="9" t="s">
        <v>31</v>
      </c>
      <c r="I3" s="10" t="s">
        <v>32</v>
      </c>
      <c r="J3" s="10" t="s">
        <v>33</v>
      </c>
      <c r="K3" s="11">
        <v>45144</v>
      </c>
      <c r="L3" s="12">
        <v>143405</v>
      </c>
      <c r="M3" s="13">
        <f>Table13[[#This Row],[Deposit value ]]/3.75</f>
        <v>38241.333333333336</v>
      </c>
      <c r="N3" s="9">
        <v>5190016363</v>
      </c>
      <c r="O3" s="9" t="s">
        <v>34</v>
      </c>
      <c r="P3" s="11">
        <v>45363</v>
      </c>
      <c r="Q3" s="11">
        <v>45638</v>
      </c>
      <c r="R3" s="10"/>
      <c r="S3" s="5"/>
    </row>
    <row r="4" spans="1:19" ht="120" x14ac:dyDescent="0.25">
      <c r="A4" s="7">
        <v>2</v>
      </c>
      <c r="B4" s="14" t="s">
        <v>27</v>
      </c>
      <c r="C4" s="14" t="s">
        <v>35</v>
      </c>
      <c r="D4" s="14" t="s">
        <v>29</v>
      </c>
      <c r="E4" s="15" t="s">
        <v>36</v>
      </c>
      <c r="F4" s="16">
        <f>210549+203858+306148+28045+16025.95+22645.99+22645.99</f>
        <v>809917.92999999993</v>
      </c>
      <c r="G4" s="17" t="s">
        <v>37</v>
      </c>
      <c r="H4" s="18" t="s">
        <v>38</v>
      </c>
      <c r="I4" s="19" t="s">
        <v>39</v>
      </c>
      <c r="J4" s="19" t="s">
        <v>40</v>
      </c>
      <c r="K4" s="20">
        <v>45132</v>
      </c>
      <c r="L4" s="21">
        <v>225310.77</v>
      </c>
      <c r="M4" s="22">
        <f>Table13[[#This Row],[Deposit value ]]/3.75</f>
        <v>60082.871999999996</v>
      </c>
      <c r="N4" s="18">
        <v>5190016603</v>
      </c>
      <c r="O4" s="18" t="s">
        <v>34</v>
      </c>
      <c r="P4" s="20">
        <f>Table13[[#This Row],[Import   date ]]+180</f>
        <v>45312</v>
      </c>
      <c r="Q4" s="23">
        <v>45630</v>
      </c>
      <c r="R4" s="24">
        <v>45720</v>
      </c>
      <c r="S4" s="9" t="s">
        <v>41</v>
      </c>
    </row>
    <row r="5" spans="1:19" x14ac:dyDescent="0.25">
      <c r="A5" s="7">
        <v>3</v>
      </c>
      <c r="B5" s="7" t="s">
        <v>27</v>
      </c>
      <c r="C5" s="7" t="s">
        <v>42</v>
      </c>
      <c r="D5" s="7" t="s">
        <v>29</v>
      </c>
      <c r="E5" s="7" t="s">
        <v>43</v>
      </c>
      <c r="F5" s="8">
        <v>203858</v>
      </c>
      <c r="G5" s="9">
        <v>7698</v>
      </c>
      <c r="H5" s="9" t="s">
        <v>44</v>
      </c>
      <c r="I5" s="10" t="s">
        <v>45</v>
      </c>
      <c r="J5" s="10" t="s">
        <v>40</v>
      </c>
      <c r="K5" s="11">
        <v>45177</v>
      </c>
      <c r="L5" s="25">
        <v>38841.379999999997</v>
      </c>
      <c r="M5" s="26">
        <f>Table13[[#This Row],[Deposit value ]]/3.75</f>
        <v>10357.701333333333</v>
      </c>
      <c r="N5" s="9">
        <v>5190016636</v>
      </c>
      <c r="O5" s="9" t="s">
        <v>46</v>
      </c>
      <c r="P5" s="11">
        <v>45446</v>
      </c>
      <c r="Q5" s="11">
        <v>45706</v>
      </c>
      <c r="R5" s="10"/>
      <c r="S5" s="9" t="s">
        <v>41</v>
      </c>
    </row>
    <row r="6" spans="1:19" x14ac:dyDescent="0.25">
      <c r="A6" s="7">
        <v>4</v>
      </c>
      <c r="B6" s="7" t="s">
        <v>27</v>
      </c>
      <c r="C6" s="7" t="s">
        <v>42</v>
      </c>
      <c r="D6" s="7" t="s">
        <v>29</v>
      </c>
      <c r="E6" s="7" t="s">
        <v>47</v>
      </c>
      <c r="F6" s="8">
        <v>187500</v>
      </c>
      <c r="G6" s="9">
        <v>7700</v>
      </c>
      <c r="H6" s="9" t="s">
        <v>48</v>
      </c>
      <c r="I6" s="10" t="s">
        <v>45</v>
      </c>
      <c r="J6" s="10" t="s">
        <v>40</v>
      </c>
      <c r="K6" s="11">
        <v>45178</v>
      </c>
      <c r="L6" s="25">
        <v>28607</v>
      </c>
      <c r="M6" s="26">
        <f>Table13[[#This Row],[Deposit value ]]/3.75</f>
        <v>7628.5333333333338</v>
      </c>
      <c r="N6" s="9">
        <v>5190016637</v>
      </c>
      <c r="O6" s="9" t="s">
        <v>46</v>
      </c>
      <c r="P6" s="11">
        <v>45476</v>
      </c>
      <c r="Q6" s="11">
        <v>45568</v>
      </c>
      <c r="R6" s="11"/>
      <c r="S6" s="9" t="s">
        <v>41</v>
      </c>
    </row>
    <row r="7" spans="1:19" x14ac:dyDescent="0.25">
      <c r="A7" s="7">
        <v>5</v>
      </c>
      <c r="B7" s="7" t="s">
        <v>27</v>
      </c>
      <c r="C7" s="7" t="s">
        <v>42</v>
      </c>
      <c r="D7" s="7" t="s">
        <v>29</v>
      </c>
      <c r="E7" s="7" t="s">
        <v>49</v>
      </c>
      <c r="F7" s="8">
        <v>210549</v>
      </c>
      <c r="G7" s="9">
        <v>7699</v>
      </c>
      <c r="H7" s="9" t="s">
        <v>50</v>
      </c>
      <c r="I7" s="10" t="s">
        <v>45</v>
      </c>
      <c r="J7" s="10" t="s">
        <v>40</v>
      </c>
      <c r="K7" s="11">
        <v>45179</v>
      </c>
      <c r="L7" s="25">
        <v>47703.58</v>
      </c>
      <c r="M7" s="26">
        <f>Table13[[#This Row],[Deposit value ]]/3.75</f>
        <v>12720.954666666667</v>
      </c>
      <c r="N7" s="9">
        <v>5190016638</v>
      </c>
      <c r="O7" s="9" t="s">
        <v>46</v>
      </c>
      <c r="P7" s="11">
        <v>45507</v>
      </c>
      <c r="Q7" s="11">
        <v>45568</v>
      </c>
      <c r="R7" s="11"/>
      <c r="S7" s="9" t="s">
        <v>41</v>
      </c>
    </row>
    <row r="8" spans="1:19" x14ac:dyDescent="0.25">
      <c r="A8" s="7">
        <v>6</v>
      </c>
      <c r="B8" s="7" t="s">
        <v>27</v>
      </c>
      <c r="C8" s="7" t="s">
        <v>51</v>
      </c>
      <c r="D8" s="7" t="s">
        <v>29</v>
      </c>
      <c r="E8" s="7" t="s">
        <v>52</v>
      </c>
      <c r="F8" s="8">
        <v>652000</v>
      </c>
      <c r="G8" s="9">
        <v>683229</v>
      </c>
      <c r="H8" s="9" t="s">
        <v>53</v>
      </c>
      <c r="I8" s="10" t="s">
        <v>54</v>
      </c>
      <c r="J8" s="10" t="s">
        <v>55</v>
      </c>
      <c r="K8" s="11">
        <v>45139</v>
      </c>
      <c r="L8" s="25">
        <v>106933.58</v>
      </c>
      <c r="M8" s="26">
        <f>Table13[[#This Row],[Deposit value ]]/3.75</f>
        <v>28515.621333333333</v>
      </c>
      <c r="N8" s="9">
        <v>5190016765</v>
      </c>
      <c r="O8" s="9" t="s">
        <v>46</v>
      </c>
      <c r="P8" s="11">
        <v>45449</v>
      </c>
      <c r="Q8" s="11">
        <f>Table13[[#This Row],[expiry date]]+180</f>
        <v>45629</v>
      </c>
      <c r="R8" s="11"/>
      <c r="S8" s="9" t="s">
        <v>41</v>
      </c>
    </row>
    <row r="9" spans="1:19" x14ac:dyDescent="0.25">
      <c r="A9" s="7">
        <v>7</v>
      </c>
      <c r="B9" s="7" t="s">
        <v>56</v>
      </c>
      <c r="C9" s="7" t="s">
        <v>57</v>
      </c>
      <c r="D9" s="7" t="s">
        <v>29</v>
      </c>
      <c r="E9" s="7" t="s">
        <v>58</v>
      </c>
      <c r="F9" s="8">
        <v>30000</v>
      </c>
      <c r="G9" s="9">
        <v>514832</v>
      </c>
      <c r="H9" s="9" t="s">
        <v>59</v>
      </c>
      <c r="I9" s="10" t="s">
        <v>54</v>
      </c>
      <c r="J9" s="10" t="s">
        <v>60</v>
      </c>
      <c r="K9" s="11">
        <v>45602</v>
      </c>
      <c r="L9" s="25">
        <v>5683.32</v>
      </c>
      <c r="M9" s="26">
        <f>Table13[[#This Row],[Deposit value ]]/3.75</f>
        <v>1515.5519999999999</v>
      </c>
      <c r="N9" s="9">
        <v>5190025068</v>
      </c>
      <c r="O9" s="9" t="s">
        <v>46</v>
      </c>
      <c r="P9" s="11">
        <v>45454</v>
      </c>
      <c r="Q9" s="27">
        <f>Table13[[#This Row],[expiry date]]+180</f>
        <v>45634</v>
      </c>
      <c r="R9" s="11"/>
      <c r="S9" s="9" t="s">
        <v>41</v>
      </c>
    </row>
    <row r="10" spans="1:19" x14ac:dyDescent="0.25">
      <c r="A10" s="7">
        <v>9</v>
      </c>
      <c r="B10" s="7" t="s">
        <v>27</v>
      </c>
      <c r="C10" s="7" t="s">
        <v>61</v>
      </c>
      <c r="D10" s="7" t="s">
        <v>29</v>
      </c>
      <c r="E10" s="28" t="s">
        <v>62</v>
      </c>
      <c r="F10" s="29">
        <v>81784.63</v>
      </c>
      <c r="G10" s="30">
        <v>94674</v>
      </c>
      <c r="H10" s="9" t="s">
        <v>63</v>
      </c>
      <c r="I10" s="10" t="s">
        <v>45</v>
      </c>
      <c r="J10" s="10" t="s">
        <v>64</v>
      </c>
      <c r="K10" s="11">
        <v>45427</v>
      </c>
      <c r="L10" s="25">
        <v>32309.83</v>
      </c>
      <c r="M10" s="26">
        <f>Table13[[#This Row],[Deposit value ]]/3.75</f>
        <v>8615.9546666666665</v>
      </c>
      <c r="N10">
        <v>5190024423</v>
      </c>
      <c r="O10" s="9" t="s">
        <v>46</v>
      </c>
      <c r="P10" s="27">
        <f>Table13[[#This Row],[Import   date ]]+180</f>
        <v>45607</v>
      </c>
      <c r="Q10" s="31">
        <f>Table13[[#This Row],[expiry date]]+160</f>
        <v>45767</v>
      </c>
      <c r="R10" s="10"/>
      <c r="S10" s="9" t="s">
        <v>41</v>
      </c>
    </row>
    <row r="11" spans="1:19" x14ac:dyDescent="0.25">
      <c r="A11" s="7">
        <v>10</v>
      </c>
      <c r="B11" s="7" t="s">
        <v>27</v>
      </c>
      <c r="C11" s="7" t="s">
        <v>61</v>
      </c>
      <c r="D11" s="7" t="s">
        <v>29</v>
      </c>
      <c r="E11" s="9" t="s">
        <v>65</v>
      </c>
      <c r="F11" s="29">
        <v>4134.62</v>
      </c>
      <c r="G11" s="30">
        <v>94797</v>
      </c>
      <c r="H11" s="9" t="s">
        <v>65</v>
      </c>
      <c r="I11" s="10" t="s">
        <v>45</v>
      </c>
      <c r="J11" s="10" t="s">
        <v>64</v>
      </c>
      <c r="K11" s="11">
        <v>45427</v>
      </c>
      <c r="L11" s="25">
        <v>775.25</v>
      </c>
      <c r="M11" s="26">
        <f>Table13[[#This Row],[Deposit value ]]/3.75</f>
        <v>206.73333333333332</v>
      </c>
      <c r="N11">
        <v>5190024423</v>
      </c>
      <c r="O11" s="9" t="s">
        <v>46</v>
      </c>
      <c r="P11" s="27">
        <f>Table13[[#This Row],[Import   date ]]+180</f>
        <v>45607</v>
      </c>
      <c r="Q11" s="31">
        <f>Table13[[#This Row],[expiry date]]+160</f>
        <v>45767</v>
      </c>
      <c r="R11" s="10"/>
      <c r="S11" s="9" t="s">
        <v>41</v>
      </c>
    </row>
    <row r="12" spans="1:19" x14ac:dyDescent="0.25">
      <c r="A12" s="7">
        <v>11</v>
      </c>
      <c r="B12" s="7" t="s">
        <v>27</v>
      </c>
      <c r="C12" s="7" t="s">
        <v>61</v>
      </c>
      <c r="D12" s="7" t="s">
        <v>29</v>
      </c>
      <c r="E12" s="7" t="s">
        <v>66</v>
      </c>
      <c r="F12" s="8">
        <v>15504</v>
      </c>
      <c r="G12" s="9">
        <v>112486</v>
      </c>
      <c r="H12" s="32" t="s">
        <v>66</v>
      </c>
      <c r="I12" s="10" t="s">
        <v>45</v>
      </c>
      <c r="J12" s="33" t="s">
        <v>67</v>
      </c>
      <c r="K12" s="11">
        <v>45510</v>
      </c>
      <c r="L12" s="25">
        <v>885.25</v>
      </c>
      <c r="M12" s="26">
        <f>Table13[[#This Row],[Deposit value ]]/3.75</f>
        <v>236.06666666666666</v>
      </c>
      <c r="N12">
        <v>5190025088</v>
      </c>
      <c r="O12" s="9" t="s">
        <v>46</v>
      </c>
      <c r="P12" s="27">
        <f>Table13[[#This Row],[Import   date ]]+180</f>
        <v>45690</v>
      </c>
      <c r="Q12" s="11">
        <f>Table13[[#This Row],[expiry date]]+160</f>
        <v>45850</v>
      </c>
      <c r="R12" s="10"/>
      <c r="S12" s="9" t="s">
        <v>41</v>
      </c>
    </row>
    <row r="13" spans="1:19" x14ac:dyDescent="0.25">
      <c r="A13" s="7">
        <v>12</v>
      </c>
      <c r="B13" s="7" t="s">
        <v>27</v>
      </c>
      <c r="C13" s="7" t="s">
        <v>61</v>
      </c>
      <c r="D13" s="7" t="s">
        <v>29</v>
      </c>
      <c r="E13" s="7" t="s">
        <v>68</v>
      </c>
      <c r="F13" s="8">
        <v>50729.77</v>
      </c>
      <c r="G13" s="9">
        <v>112471</v>
      </c>
      <c r="H13" s="9" t="s">
        <v>68</v>
      </c>
      <c r="I13" s="10" t="s">
        <v>45</v>
      </c>
      <c r="J13" s="33" t="s">
        <v>67</v>
      </c>
      <c r="K13" s="11">
        <v>45510</v>
      </c>
      <c r="L13" s="25">
        <v>20265.95</v>
      </c>
      <c r="M13" s="26">
        <f>Table13[[#This Row],[Deposit value ]]/3.75</f>
        <v>5404.2533333333331</v>
      </c>
      <c r="N13">
        <v>5190025089</v>
      </c>
      <c r="O13" s="9" t="s">
        <v>46</v>
      </c>
      <c r="P13" s="27">
        <f>Table13[[#This Row],[Import   date ]]+180</f>
        <v>45690</v>
      </c>
      <c r="Q13" s="11">
        <f>Table13[[#This Row],[expiry date]]+160</f>
        <v>45850</v>
      </c>
      <c r="R13" s="10"/>
      <c r="S13" s="9" t="s">
        <v>41</v>
      </c>
    </row>
    <row r="14" spans="1:19" x14ac:dyDescent="0.25">
      <c r="A14" s="7">
        <v>13</v>
      </c>
      <c r="B14" s="7" t="s">
        <v>27</v>
      </c>
      <c r="C14" s="7" t="s">
        <v>61</v>
      </c>
      <c r="D14" s="7" t="s">
        <v>29</v>
      </c>
      <c r="E14" s="7" t="s">
        <v>69</v>
      </c>
      <c r="F14" s="8">
        <v>550000</v>
      </c>
      <c r="G14" s="9">
        <v>123855</v>
      </c>
      <c r="H14" s="9" t="s">
        <v>70</v>
      </c>
      <c r="I14" s="10"/>
      <c r="J14" s="10"/>
      <c r="K14" s="11">
        <v>45471</v>
      </c>
      <c r="L14" s="25">
        <v>312069</v>
      </c>
      <c r="M14" s="26">
        <f>Table13[[#This Row],[Deposit value ]]/3.75</f>
        <v>83218.399999999994</v>
      </c>
      <c r="N14">
        <v>5190025554</v>
      </c>
      <c r="O14" s="9" t="s">
        <v>46</v>
      </c>
      <c r="P14" s="27">
        <f>Table13[[#This Row],[Import   date ]]+180</f>
        <v>45651</v>
      </c>
      <c r="Q14" s="11">
        <f>Table13[[#This Row],[expiry date]]+250</f>
        <v>45901</v>
      </c>
      <c r="R14" s="10"/>
      <c r="S14" s="9" t="s">
        <v>41</v>
      </c>
    </row>
    <row r="15" spans="1:19" x14ac:dyDescent="0.25">
      <c r="A15" s="7">
        <v>14</v>
      </c>
      <c r="B15" s="7" t="s">
        <v>27</v>
      </c>
      <c r="C15" s="7" t="s">
        <v>61</v>
      </c>
      <c r="D15" s="7" t="s">
        <v>29</v>
      </c>
      <c r="E15" s="7"/>
      <c r="F15" s="8"/>
      <c r="G15" s="9">
        <v>10095</v>
      </c>
      <c r="H15" s="9" t="s">
        <v>71</v>
      </c>
      <c r="I15" s="10"/>
      <c r="J15" s="10"/>
      <c r="K15" s="11">
        <v>45467</v>
      </c>
      <c r="L15" s="25">
        <v>17892.14</v>
      </c>
      <c r="M15" s="26">
        <f>Table13[[#This Row],[Deposit value ]]/3.75</f>
        <v>4771.2373333333335</v>
      </c>
      <c r="N15">
        <v>5190025314</v>
      </c>
      <c r="O15" s="9" t="s">
        <v>46</v>
      </c>
      <c r="P15" s="34">
        <f>Table13[[#This Row],[Import   date ]]+180</f>
        <v>45647</v>
      </c>
      <c r="Q15" s="11">
        <f>Table13[[#This Row],[expiry date]]+160</f>
        <v>45807</v>
      </c>
      <c r="R15" s="10"/>
      <c r="S15" s="9" t="s">
        <v>41</v>
      </c>
    </row>
    <row r="16" spans="1:19" ht="60" x14ac:dyDescent="0.25">
      <c r="A16" s="7">
        <v>15</v>
      </c>
      <c r="B16" s="7" t="s">
        <v>72</v>
      </c>
      <c r="C16" s="7" t="s">
        <v>29</v>
      </c>
      <c r="D16" s="7" t="s">
        <v>73</v>
      </c>
      <c r="E16" s="7"/>
      <c r="F16" s="8"/>
      <c r="G16" s="35">
        <v>10478</v>
      </c>
      <c r="H16" s="36" t="s">
        <v>74</v>
      </c>
      <c r="I16" s="37"/>
      <c r="J16" s="37"/>
      <c r="K16" s="11">
        <v>45385</v>
      </c>
      <c r="L16" s="25"/>
      <c r="M16" s="26"/>
      <c r="N16" s="9" t="s">
        <v>75</v>
      </c>
      <c r="O16" s="9" t="s">
        <v>76</v>
      </c>
      <c r="P16" s="27">
        <f>Table13[[#This Row],[Import   date ]]+180</f>
        <v>45565</v>
      </c>
      <c r="Q16" s="11">
        <f>Table13[[#This Row],[expiry date]]+160</f>
        <v>45725</v>
      </c>
      <c r="R16" s="37" t="s">
        <v>77</v>
      </c>
      <c r="S16" s="9" t="s">
        <v>41</v>
      </c>
    </row>
    <row r="17" spans="1:19" x14ac:dyDescent="0.25">
      <c r="A17" s="7">
        <v>16</v>
      </c>
      <c r="B17" s="38" t="s">
        <v>27</v>
      </c>
      <c r="C17" s="7" t="s">
        <v>61</v>
      </c>
      <c r="D17" s="7" t="s">
        <v>29</v>
      </c>
      <c r="E17" s="38"/>
      <c r="F17" s="39"/>
      <c r="G17" s="40">
        <v>12912</v>
      </c>
      <c r="H17" s="9" t="s">
        <v>71</v>
      </c>
      <c r="I17" s="10"/>
      <c r="J17" s="10"/>
      <c r="K17" s="11">
        <v>45280</v>
      </c>
      <c r="L17" s="41">
        <v>10492.39</v>
      </c>
      <c r="M17" s="26">
        <f>Table13[[#This Row],[Deposit value ]]/3.75</f>
        <v>2797.9706666666666</v>
      </c>
      <c r="N17" s="40">
        <v>5190020729</v>
      </c>
      <c r="O17" s="9" t="s">
        <v>46</v>
      </c>
      <c r="P17" s="11">
        <f>Table13[[#This Row],[Import   date ]]+180</f>
        <v>45460</v>
      </c>
      <c r="Q17" s="11">
        <f>Table13[[#This Row],[expiry date]]+180</f>
        <v>45640</v>
      </c>
      <c r="R17" s="42"/>
      <c r="S17" s="9" t="s">
        <v>41</v>
      </c>
    </row>
    <row r="18" spans="1:19" x14ac:dyDescent="0.25">
      <c r="A18" s="7">
        <v>17</v>
      </c>
      <c r="B18" s="7" t="s">
        <v>72</v>
      </c>
      <c r="C18" s="7" t="s">
        <v>61</v>
      </c>
      <c r="D18" s="7" t="s">
        <v>29</v>
      </c>
      <c r="E18" s="7"/>
      <c r="F18" s="8"/>
      <c r="G18" s="9">
        <v>34166</v>
      </c>
      <c r="H18" s="9" t="s">
        <v>78</v>
      </c>
      <c r="I18" s="10"/>
      <c r="J18" s="10"/>
      <c r="K18" s="11">
        <v>45337</v>
      </c>
      <c r="L18" s="25">
        <v>865771.67</v>
      </c>
      <c r="M18" s="26">
        <f>Table13[[#This Row],[Deposit value ]]/3.75</f>
        <v>230872.44533333334</v>
      </c>
      <c r="N18" s="9">
        <v>5190022259</v>
      </c>
      <c r="O18" s="9" t="s">
        <v>46</v>
      </c>
      <c r="P18" s="27">
        <f>Table13[[#This Row],[Import   date ]]+180</f>
        <v>45517</v>
      </c>
      <c r="Q18" s="11">
        <v>46055</v>
      </c>
      <c r="R18" s="43" t="s">
        <v>79</v>
      </c>
      <c r="S18" s="9" t="s">
        <v>41</v>
      </c>
    </row>
    <row r="19" spans="1:19" x14ac:dyDescent="0.25">
      <c r="A19" s="7">
        <v>18</v>
      </c>
      <c r="B19" s="38" t="s">
        <v>56</v>
      </c>
      <c r="C19" s="7" t="s">
        <v>61</v>
      </c>
      <c r="D19" s="7" t="s">
        <v>29</v>
      </c>
      <c r="E19" s="38" t="s">
        <v>80</v>
      </c>
      <c r="F19" s="39">
        <v>370500</v>
      </c>
      <c r="G19" s="40">
        <v>905079</v>
      </c>
      <c r="H19" s="9" t="s">
        <v>81</v>
      </c>
      <c r="I19" s="10" t="s">
        <v>54</v>
      </c>
      <c r="J19" s="10" t="s">
        <v>82</v>
      </c>
      <c r="K19" s="11">
        <v>45606</v>
      </c>
      <c r="L19" s="41">
        <v>70868.350000000006</v>
      </c>
      <c r="M19" s="26">
        <f>Table13[[#This Row],[Deposit value ]]/3.75</f>
        <v>18898.226666666669</v>
      </c>
      <c r="N19" s="40">
        <v>5190028803</v>
      </c>
      <c r="O19" s="9" t="s">
        <v>46</v>
      </c>
      <c r="P19" s="11">
        <v>45970</v>
      </c>
      <c r="Q19" s="11"/>
      <c r="R19" s="43"/>
      <c r="S19" s="9" t="s">
        <v>41</v>
      </c>
    </row>
    <row r="20" spans="1:19" x14ac:dyDescent="0.25">
      <c r="A20" s="7">
        <v>19</v>
      </c>
      <c r="B20" s="7" t="s">
        <v>72</v>
      </c>
      <c r="C20" s="7" t="s">
        <v>61</v>
      </c>
      <c r="D20" s="7" t="s">
        <v>29</v>
      </c>
      <c r="E20" s="7"/>
      <c r="F20" s="8"/>
      <c r="G20" s="9">
        <v>20419</v>
      </c>
      <c r="H20" s="9"/>
      <c r="I20" s="10"/>
      <c r="J20" s="10"/>
      <c r="K20" s="11">
        <v>45628</v>
      </c>
      <c r="L20" s="25">
        <v>458601.68</v>
      </c>
      <c r="M20" s="26">
        <f>Table13[[#This Row],[Deposit value ]]/3.75</f>
        <v>122293.78133333333</v>
      </c>
      <c r="N20" s="9">
        <v>5190021846</v>
      </c>
      <c r="O20" s="9" t="s">
        <v>46</v>
      </c>
      <c r="P20" s="27">
        <f>Table13[[#This Row],[Import   date ]]+360</f>
        <v>45988</v>
      </c>
      <c r="Q20" s="11"/>
      <c r="R20" s="43"/>
      <c r="S20" s="9" t="s">
        <v>41</v>
      </c>
    </row>
    <row r="21" spans="1:19" x14ac:dyDescent="0.25">
      <c r="A21" s="7">
        <v>20</v>
      </c>
      <c r="B21" s="7" t="s">
        <v>27</v>
      </c>
      <c r="C21" s="7" t="s">
        <v>61</v>
      </c>
      <c r="D21" s="7" t="s">
        <v>29</v>
      </c>
      <c r="E21" s="7" t="s">
        <v>83</v>
      </c>
      <c r="F21" s="8">
        <v>580000</v>
      </c>
      <c r="G21" s="9">
        <v>58884</v>
      </c>
      <c r="H21" s="9" t="s">
        <v>84</v>
      </c>
      <c r="I21" s="9" t="s">
        <v>45</v>
      </c>
      <c r="J21" s="9" t="s">
        <v>85</v>
      </c>
      <c r="K21" s="44">
        <v>45698</v>
      </c>
      <c r="L21" s="25">
        <v>318312.5</v>
      </c>
      <c r="M21" s="26">
        <f>Table13[[#This Row],[Deposit value ]]/3.75</f>
        <v>84883.333333333328</v>
      </c>
      <c r="N21" s="9">
        <v>5190031105</v>
      </c>
      <c r="O21" s="9" t="s">
        <v>46</v>
      </c>
      <c r="P21" s="44">
        <v>46056</v>
      </c>
      <c r="Q21" s="10"/>
      <c r="R21" s="10"/>
      <c r="S21" s="9" t="s">
        <v>41</v>
      </c>
    </row>
    <row r="22" spans="1:19" hidden="1" x14ac:dyDescent="0.25">
      <c r="A22" s="7">
        <v>21</v>
      </c>
      <c r="B22" s="7" t="s">
        <v>86</v>
      </c>
      <c r="C22" s="7" t="s">
        <v>29</v>
      </c>
      <c r="D22" s="7" t="s">
        <v>87</v>
      </c>
      <c r="E22" s="7"/>
      <c r="F22" s="8"/>
      <c r="G22" s="30">
        <v>29374</v>
      </c>
      <c r="H22" s="9" t="s">
        <v>88</v>
      </c>
      <c r="I22" s="9" t="s">
        <v>32</v>
      </c>
      <c r="J22" s="9"/>
      <c r="K22" s="44">
        <v>45755</v>
      </c>
      <c r="L22" s="25">
        <v>0</v>
      </c>
      <c r="M22" s="26">
        <f>Table13[[#This Row],[Deposit value ]]/3.75</f>
        <v>0</v>
      </c>
      <c r="N22" s="9" t="s">
        <v>75</v>
      </c>
      <c r="O22" s="9" t="s">
        <v>76</v>
      </c>
      <c r="P22" s="44">
        <f>Table13[[#This Row],[Import   date ]]+180</f>
        <v>45935</v>
      </c>
      <c r="Q22" s="10"/>
      <c r="R22" s="10"/>
      <c r="S22" s="9"/>
    </row>
    <row r="23" spans="1:19" hidden="1" x14ac:dyDescent="0.25">
      <c r="A23" s="7">
        <v>22</v>
      </c>
      <c r="B23" s="7" t="s">
        <v>86</v>
      </c>
      <c r="C23" s="7" t="s">
        <v>29</v>
      </c>
      <c r="D23" s="7" t="s">
        <v>87</v>
      </c>
      <c r="E23" s="7"/>
      <c r="F23" s="8"/>
      <c r="G23" s="30">
        <v>29373</v>
      </c>
      <c r="H23" s="9" t="s">
        <v>89</v>
      </c>
      <c r="I23" s="9" t="s">
        <v>32</v>
      </c>
      <c r="J23" s="9"/>
      <c r="K23" s="44">
        <v>45755</v>
      </c>
      <c r="L23" s="25">
        <v>0</v>
      </c>
      <c r="M23" s="26">
        <f>Table13[[#This Row],[Deposit value ]]/3.75</f>
        <v>0</v>
      </c>
      <c r="N23" s="9" t="s">
        <v>75</v>
      </c>
      <c r="O23" s="9" t="s">
        <v>76</v>
      </c>
      <c r="P23" s="44">
        <f>Table13[[#This Row],[Import   date ]]+180</f>
        <v>45935</v>
      </c>
      <c r="Q23" s="10"/>
      <c r="R23" s="10"/>
      <c r="S23" s="9"/>
    </row>
    <row r="24" spans="1:19" x14ac:dyDescent="0.25">
      <c r="A24" s="7">
        <v>23</v>
      </c>
      <c r="B24" s="7" t="s">
        <v>86</v>
      </c>
      <c r="C24" s="7" t="s">
        <v>29</v>
      </c>
      <c r="D24" s="7" t="s">
        <v>87</v>
      </c>
      <c r="E24" s="7"/>
      <c r="F24" s="8"/>
      <c r="G24" s="30">
        <v>29379</v>
      </c>
      <c r="H24" s="9" t="s">
        <v>90</v>
      </c>
      <c r="I24" s="9" t="s">
        <v>32</v>
      </c>
      <c r="J24" s="9"/>
      <c r="K24" s="44">
        <v>45755</v>
      </c>
      <c r="L24" s="25">
        <v>0</v>
      </c>
      <c r="M24" s="26">
        <f>Table13[[#This Row],[Deposit value ]]/3.75</f>
        <v>0</v>
      </c>
      <c r="N24" s="9" t="s">
        <v>75</v>
      </c>
      <c r="O24" s="9" t="s">
        <v>76</v>
      </c>
      <c r="P24" s="44">
        <f>Table13[[#This Row],[Import   date ]]+180</f>
        <v>45935</v>
      </c>
      <c r="Q24" s="45">
        <f>Table13[[#This Row],[expiry date]]+360</f>
        <v>46295</v>
      </c>
      <c r="R24" s="10"/>
      <c r="S24" s="9"/>
    </row>
    <row r="25" spans="1:19" x14ac:dyDescent="0.25">
      <c r="A25" s="7">
        <v>24</v>
      </c>
      <c r="B25" s="7" t="s">
        <v>86</v>
      </c>
      <c r="C25" s="7" t="s">
        <v>29</v>
      </c>
      <c r="D25" s="7" t="s">
        <v>87</v>
      </c>
      <c r="E25" s="7"/>
      <c r="F25" s="8"/>
      <c r="G25" s="30">
        <v>29371</v>
      </c>
      <c r="H25" s="9" t="s">
        <v>91</v>
      </c>
      <c r="I25" s="9" t="s">
        <v>32</v>
      </c>
      <c r="J25" s="9"/>
      <c r="K25" s="44">
        <v>45755</v>
      </c>
      <c r="L25" s="25">
        <v>0</v>
      </c>
      <c r="M25" s="26">
        <f>Table13[[#This Row],[Deposit value ]]/3.75</f>
        <v>0</v>
      </c>
      <c r="N25" s="9" t="s">
        <v>75</v>
      </c>
      <c r="O25" s="9" t="s">
        <v>76</v>
      </c>
      <c r="P25" s="44">
        <f>Table13[[#This Row],[Import   date ]]+180</f>
        <v>45935</v>
      </c>
      <c r="Q25" s="45">
        <f>Table13[[#This Row],[expiry date]]+360</f>
        <v>46295</v>
      </c>
      <c r="R25" s="10"/>
      <c r="S25" s="9"/>
    </row>
    <row r="26" spans="1:19" hidden="1" x14ac:dyDescent="0.25">
      <c r="A26" s="7">
        <v>25</v>
      </c>
      <c r="B26" s="7" t="s">
        <v>86</v>
      </c>
      <c r="C26" s="7" t="s">
        <v>29</v>
      </c>
      <c r="D26" s="7" t="s">
        <v>87</v>
      </c>
      <c r="E26" s="7"/>
      <c r="F26" s="8"/>
      <c r="G26" s="30">
        <v>29369</v>
      </c>
      <c r="H26" s="9" t="s">
        <v>92</v>
      </c>
      <c r="I26" s="9" t="s">
        <v>32</v>
      </c>
      <c r="J26" s="9"/>
      <c r="K26" s="44">
        <v>45755</v>
      </c>
      <c r="L26" s="25">
        <v>0</v>
      </c>
      <c r="M26" s="26">
        <f>Table13[[#This Row],[Deposit value ]]/3.75</f>
        <v>0</v>
      </c>
      <c r="N26" s="9" t="s">
        <v>75</v>
      </c>
      <c r="O26" s="9" t="s">
        <v>76</v>
      </c>
      <c r="P26" s="44">
        <f>Table13[[#This Row],[Import   date ]]+180</f>
        <v>45935</v>
      </c>
      <c r="Q26" s="10"/>
      <c r="R26" s="10"/>
      <c r="S26" s="9"/>
    </row>
    <row r="27" spans="1:19" x14ac:dyDescent="0.25">
      <c r="A27" s="7">
        <v>26</v>
      </c>
      <c r="B27" s="38" t="s">
        <v>56</v>
      </c>
      <c r="C27" s="7" t="s">
        <v>61</v>
      </c>
      <c r="D27" s="7" t="s">
        <v>29</v>
      </c>
      <c r="E27" s="38" t="s">
        <v>93</v>
      </c>
      <c r="F27" s="39">
        <v>139200</v>
      </c>
      <c r="G27" s="9">
        <v>202506</v>
      </c>
      <c r="H27" s="9" t="s">
        <v>94</v>
      </c>
      <c r="I27" s="10" t="s">
        <v>54</v>
      </c>
      <c r="J27" s="40" t="s">
        <v>95</v>
      </c>
      <c r="K27" s="44">
        <v>45709</v>
      </c>
      <c r="L27" s="25">
        <v>26625.62</v>
      </c>
      <c r="M27" s="46">
        <f>Table13[[#This Row],[Deposit value ]]/3.75</f>
        <v>7100.1653333333334</v>
      </c>
      <c r="N27" s="9" t="s">
        <v>75</v>
      </c>
      <c r="O27" s="9" t="s">
        <v>34</v>
      </c>
      <c r="P27" s="44">
        <v>46072</v>
      </c>
      <c r="Q27" s="10"/>
      <c r="R27" s="10"/>
      <c r="S27" s="9"/>
    </row>
    <row r="28" spans="1:19" x14ac:dyDescent="0.25">
      <c r="A28" s="7">
        <v>27</v>
      </c>
      <c r="B28" s="38" t="s">
        <v>56</v>
      </c>
      <c r="C28" s="7" t="s">
        <v>61</v>
      </c>
      <c r="D28" s="7" t="s">
        <v>29</v>
      </c>
      <c r="E28" s="38" t="s">
        <v>96</v>
      </c>
      <c r="F28" s="39">
        <v>145898</v>
      </c>
      <c r="G28" s="9">
        <v>227166</v>
      </c>
      <c r="H28" s="9" t="s">
        <v>97</v>
      </c>
      <c r="I28" s="10" t="s">
        <v>45</v>
      </c>
      <c r="J28" s="40"/>
      <c r="K28" s="44">
        <v>45804</v>
      </c>
      <c r="L28" s="25">
        <v>27355.88</v>
      </c>
      <c r="M28" s="46">
        <f>Table13[[#This Row],[Deposit value ]]/3.75</f>
        <v>7294.9013333333332</v>
      </c>
      <c r="N28" s="9" t="s">
        <v>75</v>
      </c>
      <c r="O28" s="9" t="s">
        <v>34</v>
      </c>
      <c r="P28" s="44">
        <v>45973</v>
      </c>
      <c r="Q28" s="45">
        <f>Table13[[#This Row],[expiry date]]+150</f>
        <v>46123</v>
      </c>
      <c r="R28" s="10"/>
      <c r="S28" s="9"/>
    </row>
    <row r="29" spans="1:19" x14ac:dyDescent="0.25">
      <c r="A29" s="7">
        <v>28</v>
      </c>
      <c r="B29" s="38" t="s">
        <v>56</v>
      </c>
      <c r="C29" s="7" t="s">
        <v>29</v>
      </c>
      <c r="D29" s="7" t="s">
        <v>98</v>
      </c>
      <c r="E29" s="38" t="s">
        <v>99</v>
      </c>
      <c r="F29" s="39">
        <v>56848</v>
      </c>
      <c r="G29" s="9">
        <v>5190</v>
      </c>
      <c r="H29" s="9" t="s">
        <v>100</v>
      </c>
      <c r="I29" s="10" t="s">
        <v>54</v>
      </c>
      <c r="J29" s="40" t="s">
        <v>101</v>
      </c>
      <c r="K29" s="44">
        <v>45802</v>
      </c>
      <c r="L29" s="25"/>
      <c r="M29" s="46">
        <f>Table13[[#This Row],[Deposit value ]]/3.75</f>
        <v>0</v>
      </c>
      <c r="N29" s="9"/>
      <c r="O29" s="9" t="s">
        <v>76</v>
      </c>
      <c r="P29" s="44">
        <v>45961</v>
      </c>
      <c r="Q29" s="45">
        <f>Table13[[#This Row],[expiry date]]+150</f>
        <v>46111</v>
      </c>
      <c r="R29" s="10"/>
      <c r="S29" s="9"/>
    </row>
    <row r="30" spans="1:19" x14ac:dyDescent="0.25">
      <c r="A30" s="7">
        <v>29</v>
      </c>
      <c r="B30" s="38" t="s">
        <v>56</v>
      </c>
      <c r="C30" s="38" t="s">
        <v>29</v>
      </c>
      <c r="D30" s="7" t="s">
        <v>61</v>
      </c>
      <c r="E30" s="38" t="s">
        <v>102</v>
      </c>
      <c r="F30" s="47">
        <v>93636</v>
      </c>
      <c r="G30" s="9">
        <v>100605</v>
      </c>
      <c r="H30" s="9" t="s">
        <v>103</v>
      </c>
      <c r="I30" s="10" t="s">
        <v>45</v>
      </c>
      <c r="J30" s="40" t="s">
        <v>104</v>
      </c>
      <c r="K30" s="44">
        <v>45852</v>
      </c>
      <c r="L30" s="25"/>
      <c r="M30" s="46"/>
      <c r="N30" s="9"/>
      <c r="O30" s="9" t="s">
        <v>76</v>
      </c>
      <c r="P30" s="44">
        <v>46174</v>
      </c>
      <c r="Q30" s="10"/>
      <c r="R30" s="10"/>
      <c r="S30" s="9"/>
    </row>
    <row r="31" spans="1:19" hidden="1" x14ac:dyDescent="0.25">
      <c r="A31" s="7">
        <v>30</v>
      </c>
      <c r="B31" s="48" t="s">
        <v>105</v>
      </c>
      <c r="C31" s="48" t="s">
        <v>29</v>
      </c>
      <c r="D31" s="48" t="s">
        <v>106</v>
      </c>
      <c r="E31" s="49" t="s">
        <v>107</v>
      </c>
      <c r="F31" s="50">
        <v>105000</v>
      </c>
      <c r="G31" s="51">
        <v>19903</v>
      </c>
      <c r="H31" s="51" t="s">
        <v>108</v>
      </c>
      <c r="I31" s="51" t="s">
        <v>45</v>
      </c>
      <c r="J31" s="52">
        <v>3243625</v>
      </c>
      <c r="K31" s="53">
        <v>45833</v>
      </c>
      <c r="L31" s="54">
        <v>0</v>
      </c>
      <c r="M31" s="55">
        <f>Table13[[#This Row],[Deposit value ]]/3.75</f>
        <v>0</v>
      </c>
      <c r="N31" s="51"/>
      <c r="O31" s="56" t="s">
        <v>76</v>
      </c>
      <c r="P31" s="57"/>
      <c r="Q31" s="58" t="s">
        <v>109</v>
      </c>
      <c r="R31" s="43"/>
      <c r="S31" s="9"/>
    </row>
    <row r="32" spans="1:19" hidden="1" x14ac:dyDescent="0.25">
      <c r="A32" s="7">
        <v>31</v>
      </c>
      <c r="B32" s="48" t="s">
        <v>105</v>
      </c>
      <c r="C32" s="48" t="s">
        <v>29</v>
      </c>
      <c r="D32" s="48" t="s">
        <v>106</v>
      </c>
      <c r="E32" s="49" t="s">
        <v>110</v>
      </c>
      <c r="F32" s="50">
        <v>105000</v>
      </c>
      <c r="G32" s="51">
        <v>19909</v>
      </c>
      <c r="H32" s="51" t="s">
        <v>111</v>
      </c>
      <c r="I32" s="51" t="s">
        <v>45</v>
      </c>
      <c r="J32" s="52">
        <v>3243625</v>
      </c>
      <c r="K32" s="53">
        <v>45833</v>
      </c>
      <c r="L32" s="59">
        <v>0</v>
      </c>
      <c r="M32" s="55"/>
      <c r="N32" s="51"/>
      <c r="O32" s="56" t="s">
        <v>76</v>
      </c>
      <c r="P32" s="57"/>
      <c r="Q32" s="58" t="s">
        <v>109</v>
      </c>
      <c r="R32" s="43"/>
      <c r="S32" s="9"/>
    </row>
    <row r="33" spans="1:19" hidden="1" x14ac:dyDescent="0.25">
      <c r="A33" s="38">
        <v>32</v>
      </c>
      <c r="B33" s="38" t="s">
        <v>105</v>
      </c>
      <c r="C33" s="38" t="s">
        <v>29</v>
      </c>
      <c r="D33" s="38" t="s">
        <v>106</v>
      </c>
      <c r="E33" s="60" t="s">
        <v>112</v>
      </c>
      <c r="F33" s="8">
        <v>105000</v>
      </c>
      <c r="G33" s="40">
        <v>19905</v>
      </c>
      <c r="H33" s="40" t="s">
        <v>113</v>
      </c>
      <c r="I33" s="40" t="s">
        <v>45</v>
      </c>
      <c r="J33" s="61">
        <v>3243625</v>
      </c>
      <c r="K33" s="62">
        <v>45833</v>
      </c>
      <c r="L33" s="41">
        <v>0</v>
      </c>
      <c r="M33" s="46">
        <f>Table13[[#This Row],[Deposit value ]]/3.75</f>
        <v>0</v>
      </c>
      <c r="N33" s="40"/>
      <c r="O33" s="9" t="s">
        <v>76</v>
      </c>
      <c r="P33" s="44" t="s">
        <v>114</v>
      </c>
      <c r="Q33" s="42"/>
      <c r="R33" s="43"/>
      <c r="S33" s="9"/>
    </row>
    <row r="34" spans="1:19" x14ac:dyDescent="0.25">
      <c r="A34" s="38">
        <v>33</v>
      </c>
      <c r="B34" s="38" t="s">
        <v>56</v>
      </c>
      <c r="C34" s="38" t="s">
        <v>61</v>
      </c>
      <c r="D34" s="38" t="s">
        <v>29</v>
      </c>
      <c r="E34" s="38" t="s">
        <v>115</v>
      </c>
      <c r="F34" s="8">
        <v>248000</v>
      </c>
      <c r="G34" s="40">
        <v>323356</v>
      </c>
      <c r="H34" s="40" t="s">
        <v>116</v>
      </c>
      <c r="I34" s="40" t="s">
        <v>45</v>
      </c>
      <c r="J34" s="63" t="s">
        <v>117</v>
      </c>
      <c r="K34" s="62">
        <v>45877</v>
      </c>
      <c r="L34" s="41">
        <v>46500</v>
      </c>
      <c r="M34" s="46">
        <f>Table13[[#This Row],[Deposit value ]]/3.75</f>
        <v>12400</v>
      </c>
      <c r="N34" s="40"/>
      <c r="O34" s="40" t="s">
        <v>34</v>
      </c>
      <c r="P34" s="44">
        <v>46204</v>
      </c>
      <c r="Q34" s="42"/>
      <c r="R34" s="43"/>
      <c r="S34" s="9"/>
    </row>
    <row r="35" spans="1:19" x14ac:dyDescent="0.25">
      <c r="A35" s="38">
        <v>34</v>
      </c>
      <c r="B35" s="38" t="s">
        <v>56</v>
      </c>
      <c r="C35" s="38" t="s">
        <v>29</v>
      </c>
      <c r="D35" s="38" t="s">
        <v>118</v>
      </c>
      <c r="E35" s="38" t="s">
        <v>119</v>
      </c>
      <c r="F35" s="8">
        <v>6784</v>
      </c>
      <c r="G35" s="40">
        <v>7785</v>
      </c>
      <c r="H35" s="40" t="s">
        <v>120</v>
      </c>
      <c r="I35" s="40" t="s">
        <v>54</v>
      </c>
      <c r="J35" s="40" t="s">
        <v>121</v>
      </c>
      <c r="K35" s="62">
        <v>45872</v>
      </c>
      <c r="L35" s="41"/>
      <c r="M35" s="46">
        <f>Table13[[#This Row],[Deposit value ]]/3.75</f>
        <v>0</v>
      </c>
      <c r="N35" s="40"/>
      <c r="O35" s="9" t="s">
        <v>76</v>
      </c>
      <c r="P35" s="44">
        <v>46204</v>
      </c>
      <c r="Q35" s="43"/>
      <c r="R35" s="43"/>
      <c r="S35" s="9"/>
    </row>
    <row r="36" spans="1:19" x14ac:dyDescent="0.25">
      <c r="A36" s="64">
        <v>35</v>
      </c>
      <c r="B36" s="7" t="s">
        <v>72</v>
      </c>
      <c r="C36" s="64" t="s">
        <v>57</v>
      </c>
      <c r="D36" s="38" t="s">
        <v>29</v>
      </c>
      <c r="E36" s="64" t="s">
        <v>122</v>
      </c>
      <c r="F36" s="8">
        <v>363380</v>
      </c>
      <c r="G36" s="40">
        <v>353487</v>
      </c>
      <c r="H36" s="40" t="s">
        <v>123</v>
      </c>
      <c r="I36" s="40" t="s">
        <v>54</v>
      </c>
      <c r="J36" s="40" t="s">
        <v>124</v>
      </c>
      <c r="K36" s="11">
        <v>45741</v>
      </c>
      <c r="L36" s="41">
        <v>76994.179999999993</v>
      </c>
      <c r="M36" s="46">
        <f>Table13[[#This Row],[Deposit value ]]/3.75</f>
        <v>20531.781333333332</v>
      </c>
      <c r="N36" s="40" t="s">
        <v>75</v>
      </c>
      <c r="O36" s="40" t="s">
        <v>46</v>
      </c>
      <c r="P36" s="44">
        <v>46106</v>
      </c>
      <c r="Q36" s="43"/>
      <c r="R36" s="64"/>
      <c r="S36" s="9"/>
    </row>
    <row r="37" spans="1:19" x14ac:dyDescent="0.25">
      <c r="A37" s="64">
        <v>36</v>
      </c>
      <c r="B37" s="7" t="s">
        <v>72</v>
      </c>
      <c r="C37" s="64" t="s">
        <v>57</v>
      </c>
      <c r="D37" s="38" t="s">
        <v>29</v>
      </c>
      <c r="E37" s="64" t="s">
        <v>125</v>
      </c>
      <c r="F37" s="8">
        <v>574417.6</v>
      </c>
      <c r="G37" s="40">
        <v>399011</v>
      </c>
      <c r="H37" s="38" t="s">
        <v>125</v>
      </c>
      <c r="I37" s="40" t="s">
        <v>54</v>
      </c>
      <c r="J37" s="40" t="s">
        <v>126</v>
      </c>
      <c r="K37" s="62">
        <v>45759</v>
      </c>
      <c r="L37" s="41">
        <v>110900.27</v>
      </c>
      <c r="M37" s="46">
        <f>Table13[[#This Row],[Deposit value ]]/3.75</f>
        <v>29573.405333333336</v>
      </c>
      <c r="N37" s="40" t="s">
        <v>75</v>
      </c>
      <c r="O37" s="40" t="s">
        <v>46</v>
      </c>
      <c r="P37" s="44">
        <v>46124</v>
      </c>
      <c r="Q37" s="43"/>
      <c r="R37" s="64"/>
      <c r="S37" s="9"/>
    </row>
    <row r="38" spans="1:19" x14ac:dyDescent="0.25">
      <c r="A38" s="64">
        <v>37</v>
      </c>
      <c r="B38" s="7" t="s">
        <v>72</v>
      </c>
      <c r="C38" s="64" t="s">
        <v>57</v>
      </c>
      <c r="D38" s="38" t="s">
        <v>29</v>
      </c>
      <c r="E38" s="64" t="s">
        <v>127</v>
      </c>
      <c r="F38" s="8">
        <v>132769.79999999999</v>
      </c>
      <c r="G38" s="40">
        <v>570174</v>
      </c>
      <c r="H38" s="38" t="s">
        <v>127</v>
      </c>
      <c r="I38" s="40" t="s">
        <v>54</v>
      </c>
      <c r="J38" s="40" t="s">
        <v>128</v>
      </c>
      <c r="K38" s="62">
        <v>45800</v>
      </c>
      <c r="L38" s="41">
        <v>26395</v>
      </c>
      <c r="M38" s="46">
        <f>Table13[[#This Row],[Deposit value ]]/3.75</f>
        <v>7038.666666666667</v>
      </c>
      <c r="N38" s="40" t="s">
        <v>75</v>
      </c>
      <c r="O38" s="40" t="s">
        <v>46</v>
      </c>
      <c r="P38" s="44">
        <v>46165</v>
      </c>
      <c r="Q38" s="43"/>
      <c r="R38" s="64"/>
      <c r="S38" s="9"/>
    </row>
    <row r="39" spans="1:19" x14ac:dyDescent="0.25">
      <c r="A39" s="64">
        <v>38</v>
      </c>
      <c r="B39" s="7" t="s">
        <v>72</v>
      </c>
      <c r="C39" s="64" t="s">
        <v>57</v>
      </c>
      <c r="D39" s="38" t="s">
        <v>29</v>
      </c>
      <c r="E39" s="64" t="s">
        <v>129</v>
      </c>
      <c r="F39" s="8">
        <v>184830.3</v>
      </c>
      <c r="G39" s="40">
        <v>780563</v>
      </c>
      <c r="H39" s="38" t="s">
        <v>129</v>
      </c>
      <c r="I39" s="40" t="s">
        <v>54</v>
      </c>
      <c r="J39" s="40" t="s">
        <v>130</v>
      </c>
      <c r="K39" s="62">
        <v>45849</v>
      </c>
      <c r="L39" s="41">
        <v>36352.660000000003</v>
      </c>
      <c r="M39" s="46">
        <f>Table13[[#This Row],[Deposit value ]]/3.75</f>
        <v>9694.0426666666681</v>
      </c>
      <c r="N39" s="40" t="s">
        <v>75</v>
      </c>
      <c r="O39" s="40" t="s">
        <v>46</v>
      </c>
      <c r="P39" s="44">
        <v>46214</v>
      </c>
      <c r="Q39" s="43"/>
      <c r="R39" s="64"/>
      <c r="S39" s="9"/>
    </row>
    <row r="40" spans="1:19" x14ac:dyDescent="0.25">
      <c r="A40" s="64">
        <v>39</v>
      </c>
      <c r="B40" s="7" t="s">
        <v>72</v>
      </c>
      <c r="C40" s="64" t="s">
        <v>57</v>
      </c>
      <c r="D40" s="38" t="s">
        <v>29</v>
      </c>
      <c r="E40" s="64" t="s">
        <v>131</v>
      </c>
      <c r="F40" s="8">
        <v>61450</v>
      </c>
      <c r="G40" s="40">
        <v>853236</v>
      </c>
      <c r="H40" s="38" t="s">
        <v>131</v>
      </c>
      <c r="I40" s="40" t="s">
        <v>54</v>
      </c>
      <c r="J40" s="40" t="s">
        <v>132</v>
      </c>
      <c r="K40" s="62">
        <v>45865</v>
      </c>
      <c r="L40" s="41">
        <v>12504.35</v>
      </c>
      <c r="M40" s="46">
        <f>Table13[[#This Row],[Deposit value ]]/3.75</f>
        <v>3334.4933333333333</v>
      </c>
      <c r="N40" s="40" t="s">
        <v>75</v>
      </c>
      <c r="O40" s="40" t="s">
        <v>46</v>
      </c>
      <c r="P40" s="44">
        <v>46230</v>
      </c>
      <c r="Q40" s="43"/>
      <c r="R40" s="64"/>
      <c r="S40" s="9"/>
    </row>
    <row r="41" spans="1:19" x14ac:dyDescent="0.25">
      <c r="A41" s="64">
        <v>40</v>
      </c>
      <c r="B41" s="7" t="s">
        <v>72</v>
      </c>
      <c r="C41" s="64" t="s">
        <v>57</v>
      </c>
      <c r="D41" s="38" t="s">
        <v>29</v>
      </c>
      <c r="E41" s="64" t="s">
        <v>133</v>
      </c>
      <c r="F41" s="8">
        <v>9090</v>
      </c>
      <c r="G41" s="40">
        <v>944909</v>
      </c>
      <c r="H41" s="38" t="s">
        <v>133</v>
      </c>
      <c r="I41" s="40" t="s">
        <v>54</v>
      </c>
      <c r="J41" s="40" t="s">
        <v>134</v>
      </c>
      <c r="K41" s="62">
        <v>45882</v>
      </c>
      <c r="L41" s="41">
        <v>1852.37</v>
      </c>
      <c r="M41" s="46">
        <f>Table13[[#This Row],[Deposit value ]]/3.75</f>
        <v>493.96533333333332</v>
      </c>
      <c r="N41" s="40" t="s">
        <v>75</v>
      </c>
      <c r="O41" s="40" t="s">
        <v>46</v>
      </c>
      <c r="P41" s="44">
        <v>46247</v>
      </c>
      <c r="Q41" s="43"/>
      <c r="R41" s="64"/>
      <c r="S41" s="9"/>
    </row>
    <row r="42" spans="1:19" x14ac:dyDescent="0.25">
      <c r="A42" s="64">
        <v>41</v>
      </c>
      <c r="B42" s="7" t="s">
        <v>72</v>
      </c>
      <c r="C42" s="64" t="s">
        <v>57</v>
      </c>
      <c r="D42" s="38" t="s">
        <v>29</v>
      </c>
      <c r="E42" s="64" t="s">
        <v>135</v>
      </c>
      <c r="F42" s="8">
        <v>82944</v>
      </c>
      <c r="G42" s="40">
        <v>967313</v>
      </c>
      <c r="H42" s="38" t="s">
        <v>135</v>
      </c>
      <c r="I42" s="40" t="s">
        <v>54</v>
      </c>
      <c r="J42" s="40" t="s">
        <v>136</v>
      </c>
      <c r="K42" s="62">
        <v>45888</v>
      </c>
      <c r="L42" s="41">
        <v>15970.15</v>
      </c>
      <c r="M42" s="46">
        <f>Table13[[#This Row],[Deposit value ]]/3.75</f>
        <v>4258.7066666666669</v>
      </c>
      <c r="N42" s="40" t="s">
        <v>75</v>
      </c>
      <c r="O42" s="40" t="s">
        <v>46</v>
      </c>
      <c r="P42" s="62">
        <v>46253</v>
      </c>
      <c r="Q42" s="43"/>
      <c r="R42" s="64"/>
      <c r="S42" s="9"/>
    </row>
    <row r="43" spans="1:19" x14ac:dyDescent="0.25">
      <c r="A43" s="64">
        <v>42</v>
      </c>
      <c r="B43" s="7" t="s">
        <v>72</v>
      </c>
      <c r="C43" s="64" t="s">
        <v>57</v>
      </c>
      <c r="D43" s="38" t="s">
        <v>29</v>
      </c>
      <c r="E43" s="64" t="s">
        <v>137</v>
      </c>
      <c r="F43" s="8">
        <v>128628.03</v>
      </c>
      <c r="G43" s="40">
        <v>570151</v>
      </c>
      <c r="H43" s="40" t="s">
        <v>138</v>
      </c>
      <c r="I43" s="40" t="s">
        <v>54</v>
      </c>
      <c r="J43" s="40" t="s">
        <v>139</v>
      </c>
      <c r="K43" s="62">
        <v>45800</v>
      </c>
      <c r="L43" s="41">
        <v>27737.26</v>
      </c>
      <c r="M43" s="46">
        <f>Table13[[#This Row],[Deposit value ]]/3.75</f>
        <v>7396.6026666666667</v>
      </c>
      <c r="N43" s="40" t="s">
        <v>75</v>
      </c>
      <c r="O43" s="40" t="s">
        <v>46</v>
      </c>
      <c r="P43" s="44">
        <v>46165</v>
      </c>
      <c r="Q43" s="43"/>
      <c r="R43" s="64"/>
      <c r="S43" s="9"/>
    </row>
    <row r="44" spans="1:19" ht="19.5" customHeight="1" x14ac:dyDescent="0.25">
      <c r="A44" s="64">
        <v>43</v>
      </c>
      <c r="B44" s="7" t="s">
        <v>72</v>
      </c>
      <c r="C44" s="64" t="s">
        <v>57</v>
      </c>
      <c r="D44" s="38" t="s">
        <v>29</v>
      </c>
      <c r="E44" s="64" t="s">
        <v>137</v>
      </c>
      <c r="F44" s="8">
        <v>101218.28</v>
      </c>
      <c r="G44" s="40">
        <v>202407</v>
      </c>
      <c r="H44" s="38" t="s">
        <v>140</v>
      </c>
      <c r="I44" s="40" t="s">
        <v>32</v>
      </c>
      <c r="J44" s="40" t="s">
        <v>141</v>
      </c>
      <c r="K44" s="62">
        <v>45768</v>
      </c>
      <c r="L44" s="41">
        <v>33279.4</v>
      </c>
      <c r="M44" s="46">
        <f>Table13[[#This Row],[Deposit value ]]/3.75</f>
        <v>8874.5066666666662</v>
      </c>
      <c r="N44" s="40" t="s">
        <v>75</v>
      </c>
      <c r="O44" s="40" t="s">
        <v>46</v>
      </c>
      <c r="P44" s="62">
        <v>46133</v>
      </c>
      <c r="Q44" s="43"/>
      <c r="R44" s="64"/>
      <c r="S44" s="9"/>
    </row>
    <row r="45" spans="1:19" x14ac:dyDescent="0.25">
      <c r="A45" s="64">
        <v>44</v>
      </c>
      <c r="B45" s="7" t="s">
        <v>72</v>
      </c>
      <c r="C45" s="64" t="s">
        <v>61</v>
      </c>
      <c r="D45" s="38" t="s">
        <v>29</v>
      </c>
      <c r="E45" s="64" t="s">
        <v>137</v>
      </c>
      <c r="F45" s="8">
        <v>34057.620000000003</v>
      </c>
      <c r="G45" s="40">
        <v>181077</v>
      </c>
      <c r="H45" s="40" t="s">
        <v>142</v>
      </c>
      <c r="I45" s="40" t="s">
        <v>45</v>
      </c>
      <c r="J45" s="40">
        <v>2500079297</v>
      </c>
      <c r="K45" s="62">
        <v>45774</v>
      </c>
      <c r="L45" s="41">
        <v>15725.16</v>
      </c>
      <c r="M45" s="46">
        <f>Table13[[#This Row],[Deposit value ]]/3.75</f>
        <v>4193.3760000000002</v>
      </c>
      <c r="N45" s="40" t="s">
        <v>75</v>
      </c>
      <c r="O45" s="40" t="s">
        <v>46</v>
      </c>
      <c r="P45" s="62">
        <v>46139</v>
      </c>
      <c r="Q45" s="43"/>
      <c r="R45" s="64"/>
      <c r="S45" s="9"/>
    </row>
    <row r="46" spans="1:19" x14ac:dyDescent="0.25">
      <c r="A46" s="38">
        <v>45</v>
      </c>
      <c r="B46" s="7" t="s">
        <v>72</v>
      </c>
      <c r="C46" s="38" t="s">
        <v>57</v>
      </c>
      <c r="D46" s="38" t="s">
        <v>29</v>
      </c>
      <c r="E46" s="38" t="s">
        <v>143</v>
      </c>
      <c r="F46" s="39">
        <v>175126</v>
      </c>
      <c r="G46" s="40">
        <v>1044852</v>
      </c>
      <c r="H46" s="40" t="s">
        <v>143</v>
      </c>
      <c r="I46" s="40" t="s">
        <v>54</v>
      </c>
      <c r="J46" s="40" t="s">
        <v>144</v>
      </c>
      <c r="K46" s="62">
        <v>45918</v>
      </c>
      <c r="L46" s="41">
        <v>34404.949999999997</v>
      </c>
      <c r="M46" s="46">
        <f>Table13[[#This Row],[Deposit value ]]/3.75</f>
        <v>9174.6533333333318</v>
      </c>
      <c r="N46" s="40" t="s">
        <v>75</v>
      </c>
      <c r="O46" s="40" t="s">
        <v>46</v>
      </c>
      <c r="P46" s="62">
        <v>46283</v>
      </c>
      <c r="Q46" s="43"/>
      <c r="R46" s="43"/>
      <c r="S46" s="9"/>
    </row>
    <row r="47" spans="1:19" x14ac:dyDescent="0.25">
      <c r="A47" s="64">
        <v>46</v>
      </c>
      <c r="B47" s="38" t="s">
        <v>145</v>
      </c>
      <c r="C47" s="38" t="s">
        <v>61</v>
      </c>
      <c r="D47" s="38" t="s">
        <v>29</v>
      </c>
      <c r="E47" s="38" t="s">
        <v>146</v>
      </c>
      <c r="F47" s="39">
        <v>69645</v>
      </c>
      <c r="G47" s="40">
        <v>64546</v>
      </c>
      <c r="H47" s="40" t="s">
        <v>147</v>
      </c>
      <c r="I47" s="40" t="s">
        <v>45</v>
      </c>
      <c r="J47" s="40"/>
      <c r="K47" s="65">
        <v>45393</v>
      </c>
      <c r="L47" s="41">
        <v>3325.88</v>
      </c>
      <c r="M47" s="66">
        <f>Table13[[#This Row],[Deposit value ]]/3.75</f>
        <v>886.90133333333335</v>
      </c>
      <c r="N47" s="40">
        <v>5190023482</v>
      </c>
      <c r="O47" s="40" t="s">
        <v>46</v>
      </c>
      <c r="P47" s="65">
        <v>45758</v>
      </c>
      <c r="Q47" s="67">
        <f>Table13[[#This Row],[expiry date]]+360</f>
        <v>46118</v>
      </c>
      <c r="R47" s="43"/>
      <c r="S47" s="9"/>
    </row>
    <row r="48" spans="1:19" x14ac:dyDescent="0.25">
      <c r="A48" s="38">
        <v>47</v>
      </c>
      <c r="B48" s="38" t="s">
        <v>148</v>
      </c>
      <c r="C48" s="38"/>
      <c r="D48" s="38" t="s">
        <v>29</v>
      </c>
      <c r="E48" s="38" t="s">
        <v>149</v>
      </c>
      <c r="F48" s="39">
        <v>480387.56</v>
      </c>
      <c r="G48" s="40">
        <v>498422</v>
      </c>
      <c r="H48" s="40" t="s">
        <v>150</v>
      </c>
      <c r="I48" s="40" t="s">
        <v>32</v>
      </c>
      <c r="J48" s="40" t="s">
        <v>151</v>
      </c>
      <c r="K48" s="65">
        <v>45900</v>
      </c>
      <c r="L48" s="41">
        <v>480387.56</v>
      </c>
      <c r="M48" s="66">
        <f>Table13[[#This Row],[Deposit value ]]/3.75</f>
        <v>128103.34933333333</v>
      </c>
      <c r="N48" s="40">
        <v>5190023482</v>
      </c>
      <c r="O48" s="40" t="s">
        <v>46</v>
      </c>
      <c r="P48" s="65">
        <v>45900</v>
      </c>
      <c r="Q48" s="67">
        <f>Table13[[#This Row],[expiry date]]+180</f>
        <v>46080</v>
      </c>
      <c r="R48" s="43"/>
      <c r="S48" s="9"/>
    </row>
    <row r="49" spans="1:19" x14ac:dyDescent="0.25">
      <c r="A49" s="64">
        <v>48</v>
      </c>
      <c r="B49" s="68" t="s">
        <v>86</v>
      </c>
      <c r="C49" s="68" t="s">
        <v>57</v>
      </c>
      <c r="D49" s="68" t="s">
        <v>29</v>
      </c>
      <c r="E49" s="68" t="s">
        <v>152</v>
      </c>
      <c r="F49" s="69">
        <v>778652</v>
      </c>
      <c r="G49" s="70">
        <v>1104928</v>
      </c>
      <c r="H49" s="70" t="s">
        <v>152</v>
      </c>
      <c r="I49" s="70" t="s">
        <v>54</v>
      </c>
      <c r="J49" s="71">
        <v>233297.25</v>
      </c>
      <c r="K49" s="72">
        <v>45957</v>
      </c>
      <c r="L49" s="73">
        <v>233297.25</v>
      </c>
      <c r="M49" s="74">
        <f>Table13[[#This Row],[Deposit value ]]/3.75</f>
        <v>62212.6</v>
      </c>
      <c r="N49" s="70">
        <v>5190037774</v>
      </c>
      <c r="O49" s="70" t="s">
        <v>46</v>
      </c>
      <c r="P49" s="72">
        <f>Table13[[#This Row],[Import   date ]]+160</f>
        <v>46117</v>
      </c>
      <c r="Q49" s="43"/>
      <c r="R49" s="43"/>
      <c r="S49" s="40"/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TI_TE portal</vt:lpstr>
      <vt:lpstr>KSA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Varny Nielsen</dc:creator>
  <cp:lastModifiedBy>Michael Varny Nielsen</cp:lastModifiedBy>
  <dcterms:created xsi:type="dcterms:W3CDTF">2026-04-22T12:47:56Z</dcterms:created>
  <dcterms:modified xsi:type="dcterms:W3CDTF">2026-04-22T12:56:47Z</dcterms:modified>
</cp:coreProperties>
</file>